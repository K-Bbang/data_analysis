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대학원\지표분석\지표과제\data\"/>
    </mc:Choice>
  </mc:AlternateContent>
  <xr:revisionPtr revIDLastSave="0" documentId="13_ncr:1_{4461C5E9-576C-4728-9B54-E86045347E2C}" xr6:coauthVersionLast="47" xr6:coauthVersionMax="47" xr10:uidLastSave="{00000000-0000-0000-0000-000000000000}"/>
  <bookViews>
    <workbookView xWindow="-108" yWindow="-108" windowWidth="23256" windowHeight="12456" xr2:uid="{38AD7F2E-71A8-42CF-A306-FF794E1B2058}"/>
  </bookViews>
  <sheets>
    <sheet name="minmax_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4" l="1"/>
  <c r="J14" i="4"/>
  <c r="I14" i="4"/>
  <c r="H14" i="4"/>
  <c r="K13" i="4"/>
  <c r="J13" i="4"/>
  <c r="I13" i="4"/>
  <c r="H13" i="4"/>
  <c r="K12" i="4"/>
  <c r="J12" i="4"/>
  <c r="I12" i="4"/>
  <c r="H12" i="4"/>
  <c r="K11" i="4"/>
  <c r="J11" i="4"/>
  <c r="I11" i="4"/>
  <c r="H11" i="4"/>
  <c r="K10" i="4"/>
  <c r="J10" i="4"/>
  <c r="I10" i="4"/>
  <c r="H10" i="4"/>
  <c r="K9" i="4"/>
  <c r="J9" i="4"/>
  <c r="I9" i="4"/>
  <c r="H9" i="4"/>
  <c r="K8" i="4"/>
  <c r="J8" i="4"/>
  <c r="I8" i="4"/>
  <c r="H8" i="4"/>
  <c r="K7" i="4"/>
  <c r="J7" i="4"/>
  <c r="I7" i="4"/>
  <c r="H7" i="4"/>
  <c r="K6" i="4"/>
  <c r="J6" i="4"/>
  <c r="I6" i="4"/>
  <c r="H6" i="4"/>
  <c r="K15" i="4" l="1"/>
  <c r="R6" i="4" s="1"/>
  <c r="J15" i="4"/>
  <c r="Q6" i="4" s="1"/>
  <c r="I15" i="4"/>
  <c r="P6" i="4" s="1"/>
  <c r="H15" i="4"/>
  <c r="O6" i="4" s="1"/>
  <c r="R12" i="4" l="1"/>
  <c r="R13" i="4"/>
  <c r="R14" i="4"/>
  <c r="R7" i="4"/>
  <c r="R8" i="4"/>
  <c r="R9" i="4"/>
  <c r="R10" i="4"/>
  <c r="R15" i="4"/>
  <c r="R11" i="4"/>
  <c r="Q12" i="4"/>
  <c r="Q13" i="4"/>
  <c r="Q14" i="4"/>
  <c r="Q7" i="4"/>
  <c r="Q8" i="4"/>
  <c r="Q9" i="4"/>
  <c r="Q10" i="4"/>
  <c r="Q15" i="4"/>
  <c r="Q11" i="4"/>
  <c r="P11" i="4"/>
  <c r="P12" i="4"/>
  <c r="P13" i="4"/>
  <c r="P7" i="4"/>
  <c r="P8" i="4"/>
  <c r="P9" i="4"/>
  <c r="P10" i="4"/>
  <c r="P15" i="4"/>
  <c r="P14" i="4"/>
  <c r="O11" i="4"/>
  <c r="O12" i="4"/>
  <c r="O13" i="4"/>
  <c r="O7" i="4"/>
  <c r="O8" i="4"/>
  <c r="O9" i="4"/>
  <c r="O10" i="4"/>
  <c r="L15" i="4"/>
  <c r="O15" i="4"/>
  <c r="H16" i="4"/>
  <c r="O14" i="4"/>
  <c r="T6" i="4"/>
  <c r="T11" i="4" l="1"/>
  <c r="T10" i="4"/>
  <c r="T9" i="4"/>
  <c r="T8" i="4"/>
  <c r="U8" i="4"/>
  <c r="T12" i="4"/>
  <c r="T7" i="4"/>
  <c r="T14" i="4"/>
  <c r="T13" i="4"/>
  <c r="O16" i="4"/>
  <c r="U11" i="4" s="1"/>
  <c r="I16" i="4"/>
  <c r="K16" i="4"/>
  <c r="R16" i="4" s="1"/>
  <c r="U7" i="4" s="1"/>
  <c r="J16" i="4"/>
  <c r="Q16" i="4" s="1"/>
  <c r="U6" i="4" s="1"/>
  <c r="V6" i="4" s="1"/>
  <c r="U9" i="4" l="1"/>
  <c r="V9" i="4" s="1"/>
  <c r="V8" i="4"/>
  <c r="V7" i="4"/>
  <c r="U10" i="4"/>
  <c r="V10" i="4" s="1"/>
  <c r="U12" i="4"/>
  <c r="V12" i="4" s="1"/>
  <c r="V11" i="4"/>
  <c r="P16" i="4"/>
  <c r="L16" i="4"/>
  <c r="U13" i="4" l="1"/>
  <c r="V13" i="4" s="1"/>
  <c r="U14" i="4"/>
  <c r="V14" i="4" s="1"/>
  <c r="V15" i="4" s="1"/>
  <c r="W6" i="4" l="1"/>
  <c r="W8" i="4"/>
  <c r="W7" i="4"/>
  <c r="W11" i="4"/>
  <c r="W12" i="4"/>
  <c r="W10" i="4"/>
  <c r="W9" i="4"/>
  <c r="W13" i="4"/>
  <c r="W14" i="4"/>
  <c r="W15" i="4" l="1"/>
</calcChain>
</file>

<file path=xl/sharedStrings.xml><?xml version="1.0" encoding="utf-8"?>
<sst xmlns="http://schemas.openxmlformats.org/spreadsheetml/2006/main" count="54" uniqueCount="36">
  <si>
    <t>factor1</t>
    <phoneticPr fontId="1" type="noConversion"/>
  </si>
  <si>
    <t>factor2</t>
    <phoneticPr fontId="1" type="noConversion"/>
  </si>
  <si>
    <t>factor3</t>
    <phoneticPr fontId="1" type="noConversion"/>
  </si>
  <si>
    <t>factor4</t>
    <phoneticPr fontId="1" type="noConversion"/>
  </si>
  <si>
    <t>squaure factor loading</t>
    <phoneticPr fontId="1" type="noConversion"/>
  </si>
  <si>
    <t>squaure factor loading(scaled to unity sum)</t>
    <phoneticPr fontId="1" type="noConversion"/>
  </si>
  <si>
    <t>explained variance</t>
    <phoneticPr fontId="1" type="noConversion"/>
  </si>
  <si>
    <t>expl/Tot</t>
    <phoneticPr fontId="1" type="noConversion"/>
  </si>
  <si>
    <t>sum</t>
    <phoneticPr fontId="1" type="noConversion"/>
  </si>
  <si>
    <t>factor loading(ratating)</t>
    <phoneticPr fontId="1" type="noConversion"/>
  </si>
  <si>
    <t>intermediate composites(A)</t>
    <phoneticPr fontId="1" type="noConversion"/>
  </si>
  <si>
    <t>지표별로 해당되는 expl/Tot(B)</t>
    <phoneticPr fontId="1" type="noConversion"/>
  </si>
  <si>
    <t>A*B=C</t>
    <phoneticPr fontId="1" type="noConversion"/>
  </si>
  <si>
    <t>C의 전체합에서 차지하는 비율=최종가중치</t>
    <phoneticPr fontId="1" type="noConversion"/>
  </si>
  <si>
    <t>1단계: 회전 후 요인부하량 산출</t>
    <phoneticPr fontId="1" type="noConversion"/>
  </si>
  <si>
    <t>2단계: 요인부하량의 제곱을 구하고 설명된 분산과 그것의 비율산출</t>
    <phoneticPr fontId="1" type="noConversion"/>
  </si>
  <si>
    <t>3단계: 요인부하량 제곱값을 scaling 실시=intermediate composite 산출</t>
    <phoneticPr fontId="1" type="noConversion"/>
  </si>
  <si>
    <t>4단계: 각 변수별 intermediate composite에 요인별 설명분산비율을 곱하고 그것이 전체 합에서 차지하는 비율을 최종가중치로 산출</t>
    <phoneticPr fontId="1" type="noConversion"/>
  </si>
  <si>
    <t>env1_경찰인력</t>
  </si>
  <si>
    <t>env2_범죄건수</t>
  </si>
  <si>
    <t>env3_국가위험</t>
  </si>
  <si>
    <t>sub1_이웃불안</t>
  </si>
  <si>
    <t>sub2_개인불안</t>
  </si>
  <si>
    <t>sub3_범죄불안</t>
  </si>
  <si>
    <t>trust1_사회신뢰</t>
  </si>
  <si>
    <t>trust2_기관신뢰</t>
  </si>
  <si>
    <t>trust3_공공예산</t>
  </si>
  <si>
    <t>환경1_경찰인력</t>
  </si>
  <si>
    <t>환경2_범죄건수</t>
  </si>
  <si>
    <t>환경3_국가위험요소</t>
  </si>
  <si>
    <t>체감1_이웃범죄위험</t>
  </si>
  <si>
    <t>체감2_개인안전불안</t>
  </si>
  <si>
    <t>체감3_부패인식정도</t>
  </si>
  <si>
    <t>신뢰1_사회신뢰</t>
  </si>
  <si>
    <t>신뢰2_사법신뢰</t>
  </si>
  <si>
    <t>신뢰3_공공예산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</si>
</sst>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176" fontId="2" fillId="5" borderId="1" xfId="0" applyNumberFormat="1" applyFont="1" applyFill="1" applyBorder="1">
      <alignment vertical="center"/>
    </xf>
    <xf numFmtId="0" fontId="0" fillId="6" borderId="1" xfId="0" applyFill="1" applyBorder="1">
      <alignment vertical="center"/>
    </xf>
    <xf numFmtId="176" fontId="2" fillId="6" borderId="1" xfId="0" applyNumberFormat="1" applyFont="1" applyFill="1" applyBorder="1">
      <alignment vertical="center"/>
    </xf>
    <xf numFmtId="177" fontId="0" fillId="6" borderId="1" xfId="0" applyNumberFormat="1" applyFill="1" applyBorder="1">
      <alignment vertical="center"/>
    </xf>
    <xf numFmtId="176" fontId="3" fillId="0" borderId="1" xfId="0" applyNumberFormat="1" applyFon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2" fontId="4" fillId="6" borderId="1" xfId="0" applyNumberFormat="1" applyFont="1" applyFill="1" applyBorder="1">
      <alignment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08C8-138A-4B4A-B8C5-3444410F159E}">
  <dimension ref="A2:W16"/>
  <sheetViews>
    <sheetView tabSelected="1" zoomScale="85" zoomScaleNormal="85" workbookViewId="0">
      <selection activeCell="J24" sqref="J24"/>
    </sheetView>
  </sheetViews>
  <sheetFormatPr defaultRowHeight="17.399999999999999" x14ac:dyDescent="0.4"/>
  <cols>
    <col min="1" max="1" width="18" customWidth="1"/>
    <col min="7" max="11" width="14.19921875" customWidth="1"/>
    <col min="14" max="14" width="13.8984375" bestFit="1" customWidth="1"/>
    <col min="15" max="18" width="11.69921875" customWidth="1"/>
    <col min="20" max="20" width="29.8984375" customWidth="1"/>
    <col min="21" max="21" width="29" bestFit="1" customWidth="1"/>
    <col min="22" max="22" width="9.69921875" customWidth="1"/>
    <col min="23" max="23" width="38.09765625" customWidth="1"/>
  </cols>
  <sheetData>
    <row r="2" spans="1:23" x14ac:dyDescent="0.4">
      <c r="A2" s="20" t="s">
        <v>14</v>
      </c>
      <c r="B2" s="20"/>
      <c r="C2" s="20"/>
      <c r="D2" s="20"/>
      <c r="E2" s="20"/>
      <c r="G2" s="20" t="s">
        <v>15</v>
      </c>
      <c r="H2" s="20"/>
      <c r="I2" s="20"/>
      <c r="J2" s="20"/>
      <c r="K2" s="20"/>
      <c r="N2" s="20" t="s">
        <v>16</v>
      </c>
      <c r="O2" s="20"/>
      <c r="P2" s="20"/>
      <c r="Q2" s="20"/>
      <c r="R2" s="20"/>
      <c r="T2" s="21" t="s">
        <v>17</v>
      </c>
      <c r="U2" s="21"/>
      <c r="V2" s="21"/>
      <c r="W2" s="21"/>
    </row>
    <row r="4" spans="1:23" x14ac:dyDescent="0.4">
      <c r="A4" s="6"/>
      <c r="B4" s="22" t="s">
        <v>9</v>
      </c>
      <c r="C4" s="22"/>
      <c r="D4" s="22"/>
      <c r="E4" s="22"/>
      <c r="F4" s="2"/>
      <c r="G4" s="6"/>
      <c r="H4" s="22" t="s">
        <v>4</v>
      </c>
      <c r="I4" s="22"/>
      <c r="J4" s="22"/>
      <c r="K4" s="22"/>
      <c r="L4" s="2"/>
      <c r="M4" s="2"/>
      <c r="N4" s="6"/>
      <c r="O4" s="22" t="s">
        <v>5</v>
      </c>
      <c r="P4" s="22"/>
      <c r="Q4" s="22"/>
      <c r="R4" s="22"/>
    </row>
    <row r="5" spans="1:23" x14ac:dyDescent="0.4">
      <c r="A5" s="6"/>
      <c r="B5" s="6" t="s">
        <v>0</v>
      </c>
      <c r="C5" s="6" t="s">
        <v>1</v>
      </c>
      <c r="D5" s="6" t="s">
        <v>2</v>
      </c>
      <c r="E5" s="6" t="s">
        <v>3</v>
      </c>
      <c r="G5" s="6"/>
      <c r="H5" s="6" t="s">
        <v>0</v>
      </c>
      <c r="I5" s="6" t="s">
        <v>1</v>
      </c>
      <c r="J5" s="6" t="s">
        <v>2</v>
      </c>
      <c r="K5" s="6" t="s">
        <v>3</v>
      </c>
      <c r="N5" s="6"/>
      <c r="O5" s="6" t="s">
        <v>0</v>
      </c>
      <c r="P5" s="6" t="s">
        <v>1</v>
      </c>
      <c r="Q5" s="6" t="s">
        <v>2</v>
      </c>
      <c r="R5" s="6" t="s">
        <v>3</v>
      </c>
      <c r="T5" s="7" t="s">
        <v>10</v>
      </c>
      <c r="U5" s="6" t="s">
        <v>11</v>
      </c>
      <c r="V5" s="7" t="s">
        <v>12</v>
      </c>
      <c r="W5" s="9" t="s">
        <v>13</v>
      </c>
    </row>
    <row r="6" spans="1:23" x14ac:dyDescent="0.4">
      <c r="A6" s="4" t="s">
        <v>27</v>
      </c>
      <c r="B6" s="4">
        <v>9.8599999999999993E-2</v>
      </c>
      <c r="C6" s="4">
        <v>6.13E-2</v>
      </c>
      <c r="D6" s="4">
        <v>0.93510000000000004</v>
      </c>
      <c r="E6" s="4">
        <v>3.2800000000000003E-2</v>
      </c>
      <c r="G6" s="4" t="s">
        <v>18</v>
      </c>
      <c r="H6" s="5">
        <f>B6^2</f>
        <v>9.7219599999999982E-3</v>
      </c>
      <c r="I6" s="5">
        <f>C6^2</f>
        <v>3.7576900000000002E-3</v>
      </c>
      <c r="J6" s="5">
        <f>D6^2</f>
        <v>0.87441201000000013</v>
      </c>
      <c r="K6" s="5">
        <f>E6^2</f>
        <v>1.0758400000000002E-3</v>
      </c>
      <c r="N6" s="4" t="s">
        <v>18</v>
      </c>
      <c r="O6" s="17">
        <f t="shared" ref="O6:R15" si="0">H6/H$15</f>
        <v>2.9066724624156161E-3</v>
      </c>
      <c r="P6" s="17">
        <f t="shared" si="0"/>
        <v>3.1124566625266247E-3</v>
      </c>
      <c r="Q6" s="17">
        <f t="shared" si="0"/>
        <v>0.73898697196708674</v>
      </c>
      <c r="R6" s="17">
        <f t="shared" si="0"/>
        <v>1.0909638574009321E-3</v>
      </c>
      <c r="T6" s="18">
        <f>MAX(O6:R6)</f>
        <v>0.73898697196708674</v>
      </c>
      <c r="U6" s="19">
        <f>INDEX($O$16:$R$16, MATCH(MAX(O6:R6), O6:R6, 0))</f>
        <v>0.17604318037061872</v>
      </c>
      <c r="V6" s="10">
        <f>T6*U6</f>
        <v>0.13009361679753922</v>
      </c>
      <c r="W6" s="10">
        <f>V6/$V$15</f>
        <v>0.1437416966022228</v>
      </c>
    </row>
    <row r="7" spans="1:23" x14ac:dyDescent="0.4">
      <c r="A7" s="4" t="s">
        <v>28</v>
      </c>
      <c r="B7" s="4">
        <v>0.44690000000000002</v>
      </c>
      <c r="C7" s="4">
        <v>8.8599999999999998E-2</v>
      </c>
      <c r="D7" s="4">
        <v>6.8699999999999997E-2</v>
      </c>
      <c r="E7" s="4">
        <v>0.75660000000000005</v>
      </c>
      <c r="G7" s="4" t="s">
        <v>19</v>
      </c>
      <c r="H7" s="5">
        <f t="shared" ref="H7:K14" si="1">B7^2</f>
        <v>0.19971961000000002</v>
      </c>
      <c r="I7" s="5">
        <f t="shared" si="1"/>
        <v>7.8499599999999996E-3</v>
      </c>
      <c r="J7" s="5">
        <f t="shared" si="1"/>
        <v>4.7196899999999995E-3</v>
      </c>
      <c r="K7" s="5">
        <f t="shared" si="1"/>
        <v>0.57244356000000007</v>
      </c>
      <c r="N7" s="4" t="s">
        <v>19</v>
      </c>
      <c r="O7" s="17">
        <f t="shared" si="0"/>
        <v>5.9712186698092425E-2</v>
      </c>
      <c r="P7" s="17">
        <f t="shared" si="0"/>
        <v>6.5020425587442024E-3</v>
      </c>
      <c r="Q7" s="17">
        <f t="shared" si="0"/>
        <v>3.9887254313025026E-3</v>
      </c>
      <c r="R7" s="17">
        <f t="shared" si="0"/>
        <v>0.58049081123765789</v>
      </c>
      <c r="T7" s="18">
        <f t="shared" ref="T7:T14" si="2">MAX(O7:R7)</f>
        <v>0.58049081123765789</v>
      </c>
      <c r="U7" s="19">
        <f t="shared" ref="U7:U14" si="3">INDEX($O$16:$R$16, MATCH(MAX(O7:R7), O7:R7, 0))</f>
        <v>0.14671590547212818</v>
      </c>
      <c r="V7" s="10">
        <f t="shared" ref="V7:V14" si="4">T7*U7</f>
        <v>8.5167234988983209E-2</v>
      </c>
      <c r="W7" s="10">
        <f t="shared" ref="W7:W14" si="5">V7/$V$15</f>
        <v>9.4102102421278852E-2</v>
      </c>
    </row>
    <row r="8" spans="1:23" x14ac:dyDescent="0.4">
      <c r="A8" s="4" t="s">
        <v>29</v>
      </c>
      <c r="B8" s="4">
        <v>0.82869999999999999</v>
      </c>
      <c r="C8" s="4">
        <v>0.182</v>
      </c>
      <c r="D8" s="4">
        <v>0.2823</v>
      </c>
      <c r="E8" s="4">
        <v>6.8400000000000002E-2</v>
      </c>
      <c r="G8" s="4" t="s">
        <v>20</v>
      </c>
      <c r="H8" s="5">
        <f t="shared" si="1"/>
        <v>0.68674369000000002</v>
      </c>
      <c r="I8" s="5">
        <f t="shared" si="1"/>
        <v>3.3124000000000001E-2</v>
      </c>
      <c r="J8" s="5">
        <f t="shared" si="1"/>
        <v>7.969329E-2</v>
      </c>
      <c r="K8" s="5">
        <f t="shared" si="1"/>
        <v>4.67856E-3</v>
      </c>
      <c r="N8" s="4" t="s">
        <v>20</v>
      </c>
      <c r="O8" s="17">
        <f t="shared" si="0"/>
        <v>0.20532268929934774</v>
      </c>
      <c r="P8" s="17">
        <f t="shared" si="0"/>
        <v>2.743627454354455E-2</v>
      </c>
      <c r="Q8" s="17">
        <f t="shared" si="0"/>
        <v>6.735074814811258E-2</v>
      </c>
      <c r="R8" s="17">
        <f t="shared" si="0"/>
        <v>4.7443298861184783E-3</v>
      </c>
      <c r="T8" s="18">
        <f t="shared" si="2"/>
        <v>0.20532268929934774</v>
      </c>
      <c r="U8" s="19">
        <f t="shared" si="3"/>
        <v>0.49761974873724146</v>
      </c>
      <c r="V8" s="10">
        <f t="shared" si="4"/>
        <v>0.10217262505919612</v>
      </c>
      <c r="W8" s="10">
        <f t="shared" si="5"/>
        <v>0.11289152253463551</v>
      </c>
    </row>
    <row r="9" spans="1:23" x14ac:dyDescent="0.4">
      <c r="A9" s="4" t="s">
        <v>30</v>
      </c>
      <c r="B9" s="4">
        <v>0.55910000000000004</v>
      </c>
      <c r="C9" s="4">
        <v>0.44890000000000002</v>
      </c>
      <c r="D9" s="4">
        <v>0.1419</v>
      </c>
      <c r="E9" s="4">
        <v>0.54869999999999997</v>
      </c>
      <c r="G9" s="4" t="s">
        <v>21</v>
      </c>
      <c r="H9" s="5">
        <f t="shared" si="1"/>
        <v>0.31259281000000005</v>
      </c>
      <c r="I9" s="5">
        <f t="shared" si="1"/>
        <v>0.20151121000000002</v>
      </c>
      <c r="J9" s="5">
        <f t="shared" si="1"/>
        <v>2.0135609999999998E-2</v>
      </c>
      <c r="K9" s="5">
        <f t="shared" si="1"/>
        <v>0.30107168999999995</v>
      </c>
      <c r="N9" s="4" t="s">
        <v>21</v>
      </c>
      <c r="O9" s="17">
        <f t="shared" si="0"/>
        <v>9.3459026037560025E-2</v>
      </c>
      <c r="P9" s="17">
        <f t="shared" si="0"/>
        <v>0.16690969934675343</v>
      </c>
      <c r="Q9" s="17">
        <f t="shared" si="0"/>
        <v>1.7017096394421879E-2</v>
      </c>
      <c r="R9" s="17">
        <f t="shared" si="0"/>
        <v>0.30530407149447641</v>
      </c>
      <c r="T9" s="18">
        <f t="shared" si="2"/>
        <v>0.30530407149447641</v>
      </c>
      <c r="U9" s="19">
        <f t="shared" si="3"/>
        <v>0.14671590547212818</v>
      </c>
      <c r="V9" s="10">
        <f t="shared" si="4"/>
        <v>4.4792963293639465E-2</v>
      </c>
      <c r="W9" s="10">
        <f t="shared" si="5"/>
        <v>4.9492178772222555E-2</v>
      </c>
    </row>
    <row r="10" spans="1:23" x14ac:dyDescent="0.4">
      <c r="A10" s="4" t="s">
        <v>31</v>
      </c>
      <c r="B10" s="4">
        <v>0.78710000000000002</v>
      </c>
      <c r="C10" s="4">
        <v>0.30590000000000001</v>
      </c>
      <c r="D10" s="4">
        <v>5.4000000000000003E-3</v>
      </c>
      <c r="E10" s="4">
        <v>0.1603</v>
      </c>
      <c r="G10" s="4" t="s">
        <v>22</v>
      </c>
      <c r="H10" s="5">
        <f t="shared" si="1"/>
        <v>0.61952641000000008</v>
      </c>
      <c r="I10" s="5">
        <f t="shared" si="1"/>
        <v>9.3574810000000008E-2</v>
      </c>
      <c r="J10" s="5">
        <f t="shared" si="1"/>
        <v>2.9160000000000002E-5</v>
      </c>
      <c r="K10" s="5">
        <f t="shared" si="1"/>
        <v>2.5696089999999998E-2</v>
      </c>
      <c r="N10" s="4" t="s">
        <v>22</v>
      </c>
      <c r="O10" s="17">
        <f t="shared" si="0"/>
        <v>0.18522606096776853</v>
      </c>
      <c r="P10" s="17">
        <f t="shared" si="0"/>
        <v>7.7507069723463898E-2</v>
      </c>
      <c r="Q10" s="17">
        <f t="shared" si="0"/>
        <v>2.4643829060124925E-5</v>
      </c>
      <c r="R10" s="17">
        <f t="shared" si="0"/>
        <v>2.6057318436311636E-2</v>
      </c>
      <c r="T10" s="18">
        <f t="shared" si="2"/>
        <v>0.18522606096776853</v>
      </c>
      <c r="U10" s="19">
        <f t="shared" si="3"/>
        <v>0.49761974873724146</v>
      </c>
      <c r="V10" s="10">
        <f t="shared" si="4"/>
        <v>9.2172145918369947E-2</v>
      </c>
      <c r="W10" s="10">
        <f t="shared" si="5"/>
        <v>0.10184189631988733</v>
      </c>
    </row>
    <row r="11" spans="1:23" x14ac:dyDescent="0.4">
      <c r="A11" s="4" t="s">
        <v>32</v>
      </c>
      <c r="B11" s="4">
        <v>0.76160000000000005</v>
      </c>
      <c r="C11" s="4">
        <v>0.31019999999999998</v>
      </c>
      <c r="D11" s="4">
        <v>0.43519999999999998</v>
      </c>
      <c r="E11" s="4">
        <v>0.1883</v>
      </c>
      <c r="G11" s="4" t="s">
        <v>23</v>
      </c>
      <c r="H11" s="5">
        <f t="shared" si="1"/>
        <v>0.58003456000000009</v>
      </c>
      <c r="I11" s="5">
        <f t="shared" si="1"/>
        <v>9.6224039999999983E-2</v>
      </c>
      <c r="J11" s="5">
        <f t="shared" si="1"/>
        <v>0.18939903999999999</v>
      </c>
      <c r="K11" s="5">
        <f t="shared" si="1"/>
        <v>3.5456889999999998E-2</v>
      </c>
      <c r="N11" s="4" t="s">
        <v>23</v>
      </c>
      <c r="O11" s="17">
        <f t="shared" si="0"/>
        <v>0.17341878415477527</v>
      </c>
      <c r="P11" s="17">
        <f t="shared" si="0"/>
        <v>7.970140016691861E-2</v>
      </c>
      <c r="Q11" s="17">
        <f t="shared" si="0"/>
        <v>0.16006576014786567</v>
      </c>
      <c r="R11" s="17">
        <f t="shared" si="0"/>
        <v>3.5955333028926721E-2</v>
      </c>
      <c r="T11" s="18">
        <f t="shared" si="2"/>
        <v>0.17341878415477527</v>
      </c>
      <c r="U11" s="19">
        <f t="shared" si="3"/>
        <v>0.49761974873724146</v>
      </c>
      <c r="V11" s="10">
        <f t="shared" si="4"/>
        <v>8.6296611797417183E-2</v>
      </c>
      <c r="W11" s="10">
        <f t="shared" si="5"/>
        <v>9.534996179012202E-2</v>
      </c>
    </row>
    <row r="12" spans="1:23" x14ac:dyDescent="0.4">
      <c r="A12" s="4" t="s">
        <v>33</v>
      </c>
      <c r="B12" s="4">
        <v>0.95989999999999998</v>
      </c>
      <c r="C12" s="4">
        <v>9.0899999999999995E-2</v>
      </c>
      <c r="D12" s="4">
        <v>9.2200000000000004E-2</v>
      </c>
      <c r="E12" s="4">
        <v>0.1042</v>
      </c>
      <c r="G12" s="4" t="s">
        <v>24</v>
      </c>
      <c r="H12" s="5">
        <f t="shared" si="1"/>
        <v>0.92140800999999994</v>
      </c>
      <c r="I12" s="5">
        <f t="shared" si="1"/>
        <v>8.2628099999999989E-3</v>
      </c>
      <c r="J12" s="5">
        <f t="shared" si="1"/>
        <v>8.5008400000000008E-3</v>
      </c>
      <c r="K12" s="5">
        <f t="shared" si="1"/>
        <v>1.085764E-2</v>
      </c>
      <c r="N12" s="4" t="s">
        <v>24</v>
      </c>
      <c r="O12" s="17">
        <f t="shared" si="0"/>
        <v>0.2754826484902399</v>
      </c>
      <c r="P12" s="17">
        <f t="shared" si="0"/>
        <v>6.8440020426622783E-3</v>
      </c>
      <c r="Q12" s="17">
        <f t="shared" si="0"/>
        <v>7.1842677581437711E-3</v>
      </c>
      <c r="R12" s="17">
        <f t="shared" si="0"/>
        <v>1.1010273662134383E-2</v>
      </c>
      <c r="T12" s="18">
        <f t="shared" si="2"/>
        <v>0.2754826484902399</v>
      </c>
      <c r="U12" s="19">
        <f t="shared" si="3"/>
        <v>0.49761974873724146</v>
      </c>
      <c r="V12" s="10">
        <f t="shared" si="4"/>
        <v>0.13708560632318298</v>
      </c>
      <c r="W12" s="10">
        <f t="shared" si="5"/>
        <v>0.15146721351674688</v>
      </c>
    </row>
    <row r="13" spans="1:23" x14ac:dyDescent="0.4">
      <c r="A13" s="4" t="s">
        <v>34</v>
      </c>
      <c r="B13" s="4">
        <v>0.12230000000000001</v>
      </c>
      <c r="C13" s="4">
        <v>0.87350000000000005</v>
      </c>
      <c r="D13" s="4">
        <v>7.9799999999999996E-2</v>
      </c>
      <c r="E13" s="4">
        <v>0.1867</v>
      </c>
      <c r="G13" s="4" t="s">
        <v>25</v>
      </c>
      <c r="H13" s="5">
        <f t="shared" si="1"/>
        <v>1.4957290000000002E-2</v>
      </c>
      <c r="I13" s="5">
        <f t="shared" si="1"/>
        <v>0.7630022500000001</v>
      </c>
      <c r="J13" s="5">
        <f t="shared" si="1"/>
        <v>6.3680399999999993E-3</v>
      </c>
      <c r="K13" s="5">
        <f t="shared" si="1"/>
        <v>3.4856890000000001E-2</v>
      </c>
      <c r="N13" s="4" t="s">
        <v>25</v>
      </c>
      <c r="O13" s="17">
        <f t="shared" si="0"/>
        <v>4.47193188980046E-3</v>
      </c>
      <c r="P13" s="17">
        <f t="shared" si="0"/>
        <v>0.63198705495538632</v>
      </c>
      <c r="Q13" s="17">
        <f t="shared" si="0"/>
        <v>5.3817863240067871E-3</v>
      </c>
      <c r="R13" s="17">
        <f t="shared" si="0"/>
        <v>3.5346898396973497E-2</v>
      </c>
      <c r="T13" s="18">
        <f t="shared" si="2"/>
        <v>0.63198705495538632</v>
      </c>
      <c r="U13" s="19">
        <f t="shared" si="3"/>
        <v>0.17962116542001155</v>
      </c>
      <c r="V13" s="10">
        <f t="shared" si="4"/>
        <v>0.11351825134144737</v>
      </c>
      <c r="W13" s="10">
        <f t="shared" si="5"/>
        <v>0.12542741484796546</v>
      </c>
    </row>
    <row r="14" spans="1:23" x14ac:dyDescent="0.4">
      <c r="A14" s="4" t="s">
        <v>35</v>
      </c>
      <c r="B14" s="4">
        <v>7.4399999999999994E-2</v>
      </c>
      <c r="C14" s="4">
        <v>0.87439999999999996</v>
      </c>
      <c r="D14" s="4">
        <v>0.23810000000000001</v>
      </c>
      <c r="E14" s="4">
        <v>0.2104</v>
      </c>
      <c r="G14" s="4" t="s">
        <v>26</v>
      </c>
      <c r="H14" s="5">
        <f t="shared" si="1"/>
        <v>5.5353599999999987E-3</v>
      </c>
      <c r="I14" s="5">
        <f t="shared" si="1"/>
        <v>0.76457535999999993</v>
      </c>
      <c r="J14" s="5">
        <f t="shared" si="1"/>
        <v>5.6691610000000003E-2</v>
      </c>
      <c r="K14" s="5">
        <f t="shared" si="1"/>
        <v>4.4268160000000001E-2</v>
      </c>
      <c r="N14" s="4" t="s">
        <v>26</v>
      </c>
      <c r="O14" s="17">
        <f t="shared" si="0"/>
        <v>1.6549624233752147E-3</v>
      </c>
      <c r="P14" s="17">
        <f t="shared" si="0"/>
        <v>0.63329004607503347</v>
      </c>
      <c r="Q14" s="17">
        <f t="shared" si="0"/>
        <v>4.7911465911634733E-2</v>
      </c>
      <c r="R14" s="17">
        <f t="shared" si="0"/>
        <v>4.4890469394744233E-2</v>
      </c>
      <c r="T14" s="18">
        <f t="shared" si="2"/>
        <v>0.63329004607503347</v>
      </c>
      <c r="U14" s="19">
        <f t="shared" si="3"/>
        <v>0.17962116542001155</v>
      </c>
      <c r="V14" s="10">
        <f t="shared" si="4"/>
        <v>0.11375229612489032</v>
      </c>
      <c r="W14" s="10">
        <f t="shared" si="5"/>
        <v>0.12568601319491854</v>
      </c>
    </row>
    <row r="15" spans="1:23" x14ac:dyDescent="0.4">
      <c r="G15" s="12" t="s">
        <v>6</v>
      </c>
      <c r="H15" s="13">
        <f>SUM(H6:H13)</f>
        <v>3.3447043400000003</v>
      </c>
      <c r="I15" s="13">
        <f t="shared" ref="I15:K15" si="6">SUM(I6:I13)</f>
        <v>1.2073067700000002</v>
      </c>
      <c r="J15" s="13">
        <f t="shared" si="6"/>
        <v>1.1832576800000001</v>
      </c>
      <c r="K15" s="13">
        <f t="shared" si="6"/>
        <v>0.98613716000000007</v>
      </c>
      <c r="L15" s="3">
        <f>SUM(H15:K15)</f>
        <v>6.7214059500000012</v>
      </c>
      <c r="M15" s="1"/>
      <c r="N15" s="12" t="s">
        <v>8</v>
      </c>
      <c r="O15" s="12">
        <f t="shared" si="0"/>
        <v>1</v>
      </c>
      <c r="P15" s="12">
        <f t="shared" si="0"/>
        <v>1</v>
      </c>
      <c r="Q15" s="12">
        <f t="shared" si="0"/>
        <v>1</v>
      </c>
      <c r="R15" s="12">
        <f t="shared" si="0"/>
        <v>1</v>
      </c>
      <c r="T15" s="8"/>
      <c r="U15" s="8"/>
      <c r="V15" s="11">
        <f>SUM(V6:V14)</f>
        <v>0.90505135164466588</v>
      </c>
      <c r="W15" s="10">
        <f>SUM(W6:W14)</f>
        <v>1</v>
      </c>
    </row>
    <row r="16" spans="1:23" x14ac:dyDescent="0.4">
      <c r="G16" s="14" t="s">
        <v>7</v>
      </c>
      <c r="H16" s="15">
        <f>H15/$L$15</f>
        <v>0.49761974873724146</v>
      </c>
      <c r="I16" s="15">
        <f>I15/$L$15</f>
        <v>0.17962116542001155</v>
      </c>
      <c r="J16" s="15">
        <f>J15/$L$15</f>
        <v>0.17604318037061872</v>
      </c>
      <c r="K16" s="15">
        <f>K15/$L$15</f>
        <v>0.14671590547212818</v>
      </c>
      <c r="L16" s="3">
        <f>SUM(H16:K16)</f>
        <v>1</v>
      </c>
      <c r="N16" s="14" t="s">
        <v>7</v>
      </c>
      <c r="O16" s="16">
        <f>H16</f>
        <v>0.49761974873724146</v>
      </c>
      <c r="P16" s="16">
        <f t="shared" ref="P16:R16" si="7">I16</f>
        <v>0.17962116542001155</v>
      </c>
      <c r="Q16" s="16">
        <f>J16</f>
        <v>0.17604318037061872</v>
      </c>
      <c r="R16" s="16">
        <f t="shared" si="7"/>
        <v>0.14671590547212818</v>
      </c>
    </row>
  </sheetData>
  <mergeCells count="7">
    <mergeCell ref="A2:E2"/>
    <mergeCell ref="G2:K2"/>
    <mergeCell ref="N2:R2"/>
    <mergeCell ref="T2:W2"/>
    <mergeCell ref="B4:E4"/>
    <mergeCell ref="H4:K4"/>
    <mergeCell ref="O4:R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minmax_data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UOS</dc:creator>
  <cp:lastModifiedBy>UOS</cp:lastModifiedBy>
  <dcterms:created xsi:type="dcterms:W3CDTF">2025-10-28T07:57:50Z</dcterms:created>
  <dcterms:modified xsi:type="dcterms:W3CDTF">2025-12-01T06:11:20Z</dcterms:modified>
</cp:coreProperties>
</file>